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Department Bud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1A3C6E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b val="1"/>
      <sz val="11"/>
    </font>
  </fonts>
  <fills count="7">
    <fill>
      <patternFill/>
    </fill>
    <fill>
      <patternFill patternType="gray125"/>
    </fill>
    <fill>
      <patternFill patternType="solid">
        <fgColor rgb="001A3C6E"/>
        <bgColor rgb="001A3C6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top style="thin"/>
      <bottom style="double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pivotButton="0" quotePrefix="0" xfId="0"/>
    <xf numFmtId="0" fontId="0" fillId="3" borderId="0" pivotButton="0" quotePrefix="0" xfId="0"/>
    <xf numFmtId="3" fontId="0" fillId="0" borderId="0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3" fontId="0" fillId="0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4" fillId="0" borderId="0" pivotButton="0" quotePrefix="0" xfId="0"/>
    <xf numFmtId="3" fontId="4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ACME Corp - Consolidated Income Statement</t>
        </is>
      </c>
    </row>
    <row r="2">
      <c r="A2" s="2" t="inlineStr">
        <is>
          <t>For the Fiscal Year Ended December 31, 2025 (in thousands USD)</t>
        </is>
      </c>
    </row>
    <row r="4">
      <c r="A4" s="3" t="inlineStr"/>
      <c r="B4" s="3" t="inlineStr">
        <is>
          <t>Q1 2025</t>
        </is>
      </c>
      <c r="C4" s="3" t="inlineStr">
        <is>
          <t>Q2 2025</t>
        </is>
      </c>
      <c r="D4" s="3" t="inlineStr">
        <is>
          <t>Q3 2025</t>
        </is>
      </c>
      <c r="E4" s="3" t="inlineStr">
        <is>
          <t>Q4 2025</t>
        </is>
      </c>
    </row>
    <row r="5">
      <c r="A5" s="4" t="inlineStr">
        <is>
          <t>Revenue</t>
        </is>
      </c>
      <c r="B5" s="5" t="n"/>
      <c r="C5" s="5" t="n"/>
      <c r="D5" s="5" t="n"/>
      <c r="E5" s="5" t="n"/>
    </row>
    <row r="6">
      <c r="A6" t="inlineStr">
        <is>
          <t xml:space="preserve">  Product Revenue</t>
        </is>
      </c>
      <c r="B6" s="6" t="n">
        <v>28400</v>
      </c>
      <c r="C6" s="6" t="n">
        <v>30100</v>
      </c>
      <c r="D6" s="6" t="n">
        <v>32800</v>
      </c>
      <c r="E6" s="6" t="n">
        <v>34200</v>
      </c>
    </row>
    <row r="7">
      <c r="A7" t="inlineStr">
        <is>
          <t xml:space="preserve">  Services Revenue</t>
        </is>
      </c>
      <c r="B7" s="6" t="n">
        <v>4800</v>
      </c>
      <c r="C7" s="6" t="n">
        <v>5200</v>
      </c>
      <c r="D7" s="6" t="n">
        <v>5600</v>
      </c>
      <c r="E7" s="6" t="n">
        <v>6700</v>
      </c>
    </row>
    <row r="8">
      <c r="A8" t="inlineStr">
        <is>
          <t xml:space="preserve">  Subscription Revenue</t>
        </is>
      </c>
      <c r="B8" s="6" t="n">
        <v>7500</v>
      </c>
      <c r="C8" s="6" t="n">
        <v>8100</v>
      </c>
      <c r="D8" s="6" t="n">
        <v>8800</v>
      </c>
      <c r="E8" s="6" t="n">
        <v>9600</v>
      </c>
    </row>
    <row r="9">
      <c r="A9" t="inlineStr">
        <is>
          <t>Total Revenue</t>
        </is>
      </c>
      <c r="B9" s="7">
        <f>SUM(B6:B8)</f>
        <v/>
      </c>
      <c r="C9" s="7">
        <f>SUM(C6:C8)</f>
        <v/>
      </c>
      <c r="D9" s="7">
        <f>SUM(D6:D8)</f>
        <v/>
      </c>
      <c r="E9" s="7">
        <f>SUM(E6:E8)</f>
        <v/>
      </c>
    </row>
    <row r="10">
      <c r="A10" t="inlineStr"/>
    </row>
    <row r="11">
      <c r="A11" s="4" t="inlineStr">
        <is>
          <t>Cost of Revenue</t>
        </is>
      </c>
      <c r="B11" s="5" t="n"/>
      <c r="C11" s="5" t="n"/>
      <c r="D11" s="5" t="n"/>
      <c r="E11" s="5" t="n"/>
    </row>
    <row r="12">
      <c r="A12" t="inlineStr">
        <is>
          <t xml:space="preserve">  Cost of Goods Sold</t>
        </is>
      </c>
      <c r="B12" s="6" t="n">
        <v>15200</v>
      </c>
      <c r="C12" s="6" t="n">
        <v>15800</v>
      </c>
      <c r="D12" s="6" t="n">
        <v>16100</v>
      </c>
      <c r="E12" s="6" t="n">
        <v>16900</v>
      </c>
    </row>
    <row r="13">
      <c r="A13" t="inlineStr">
        <is>
          <t xml:space="preserve">  Service Delivery Costs</t>
        </is>
      </c>
      <c r="B13" s="6" t="n">
        <v>2900</v>
      </c>
      <c r="C13" s="6" t="n">
        <v>3100</v>
      </c>
      <c r="D13" s="6" t="n">
        <v>3200</v>
      </c>
      <c r="E13" s="6" t="n">
        <v>3600</v>
      </c>
    </row>
    <row r="14">
      <c r="A14" t="inlineStr">
        <is>
          <t>Total Cost of Revenue</t>
        </is>
      </c>
      <c r="B14" s="7">
        <f>SUM(B13:B14)</f>
        <v/>
      </c>
      <c r="C14" s="7">
        <f>SUM(C13:C14)</f>
        <v/>
      </c>
      <c r="D14" s="7">
        <f>SUM(D13:D14)</f>
        <v/>
      </c>
      <c r="E14" s="7">
        <f>SUM(E13:E14)</f>
        <v/>
      </c>
    </row>
    <row r="15">
      <c r="A15" t="inlineStr"/>
    </row>
    <row r="16">
      <c r="A16" t="inlineStr">
        <is>
          <t>Gross Profit</t>
        </is>
      </c>
      <c r="B16" s="7">
        <f>B10-B16</f>
        <v/>
      </c>
      <c r="C16" s="7">
        <f>C10-C16</f>
        <v/>
      </c>
      <c r="D16" s="7">
        <f>D10-D16</f>
        <v/>
      </c>
      <c r="E16" s="7">
        <f>E10-E16</f>
        <v/>
      </c>
    </row>
    <row r="17">
      <c r="A17" t="inlineStr">
        <is>
          <t>Gross Margin %</t>
        </is>
      </c>
      <c r="B17" s="8">
        <f>B18/B10</f>
        <v/>
      </c>
      <c r="C17" s="8">
        <f>C18/C10</f>
        <v/>
      </c>
      <c r="D17" s="8">
        <f>D18/D10</f>
        <v/>
      </c>
      <c r="E17" s="8">
        <f>E18/E10</f>
        <v/>
      </c>
    </row>
    <row r="18">
      <c r="A18" t="inlineStr"/>
    </row>
    <row r="19">
      <c r="A19" s="4" t="inlineStr">
        <is>
          <t>Operating Expenses</t>
        </is>
      </c>
      <c r="B19" s="5" t="n"/>
      <c r="C19" s="5" t="n"/>
      <c r="D19" s="5" t="n"/>
      <c r="E19" s="5" t="n"/>
    </row>
    <row r="20">
      <c r="A20" t="inlineStr">
        <is>
          <t xml:space="preserve">  Research &amp; Development</t>
        </is>
      </c>
      <c r="B20" s="6" t="n">
        <v>4800</v>
      </c>
      <c r="C20" s="6" t="n">
        <v>5200</v>
      </c>
      <c r="D20" s="6" t="n">
        <v>5800</v>
      </c>
      <c r="E20" s="6" t="n">
        <v>6500</v>
      </c>
    </row>
    <row r="21">
      <c r="A21" t="inlineStr">
        <is>
          <t xml:space="preserve">  Sales &amp; Marketing</t>
        </is>
      </c>
      <c r="B21" s="6" t="n">
        <v>5100</v>
      </c>
      <c r="C21" s="6" t="n">
        <v>5400</v>
      </c>
      <c r="D21" s="6" t="n">
        <v>5600</v>
      </c>
      <c r="E21" s="6" t="n">
        <v>5900</v>
      </c>
    </row>
    <row r="22">
      <c r="A22" t="inlineStr">
        <is>
          <t xml:space="preserve">  General &amp; Administrative</t>
        </is>
      </c>
      <c r="B22" s="6" t="n">
        <v>3200</v>
      </c>
      <c r="C22" s="6" t="n">
        <v>3300</v>
      </c>
      <c r="D22" s="6" t="n">
        <v>3400</v>
      </c>
      <c r="E22" s="6" t="n">
        <v>3600</v>
      </c>
    </row>
    <row r="23">
      <c r="A23" t="inlineStr">
        <is>
          <t>Total Operating Expenses</t>
        </is>
      </c>
      <c r="B23" s="7">
        <f>SUM(B22:B24)</f>
        <v/>
      </c>
      <c r="C23" s="7">
        <f>SUM(C22:C24)</f>
        <v/>
      </c>
      <c r="D23" s="7">
        <f>SUM(D22:D24)</f>
        <v/>
      </c>
      <c r="E23" s="7">
        <f>SUM(E22:E24)</f>
        <v/>
      </c>
    </row>
    <row r="24">
      <c r="A24" t="inlineStr"/>
    </row>
    <row r="25">
      <c r="A25" t="inlineStr">
        <is>
          <t>Operating Income</t>
        </is>
      </c>
      <c r="B25" s="7">
        <f>B18-B25</f>
        <v/>
      </c>
      <c r="C25" s="7">
        <f>C18-C25</f>
        <v/>
      </c>
      <c r="D25" s="7">
        <f>D18-D25</f>
        <v/>
      </c>
      <c r="E25" s="7">
        <f>E18-E25</f>
        <v/>
      </c>
    </row>
    <row r="26">
      <c r="A26" t="inlineStr">
        <is>
          <t>Operating Margin %</t>
        </is>
      </c>
      <c r="B26" s="8">
        <f>B27/B10</f>
        <v/>
      </c>
      <c r="C26" s="8">
        <f>C27/C10</f>
        <v/>
      </c>
      <c r="D26" s="8">
        <f>D27/D10</f>
        <v/>
      </c>
      <c r="E26" s="8">
        <f>E27/E10</f>
        <v/>
      </c>
    </row>
    <row r="27">
      <c r="A27" t="inlineStr"/>
    </row>
    <row r="28">
      <c r="A28" t="inlineStr">
        <is>
          <t xml:space="preserve">  Interest Income</t>
        </is>
      </c>
      <c r="B28" s="6" t="n">
        <v>180</v>
      </c>
      <c r="C28" s="6" t="n">
        <v>210</v>
      </c>
      <c r="D28" s="6" t="n">
        <v>240</v>
      </c>
      <c r="E28" s="6" t="n">
        <v>260</v>
      </c>
    </row>
    <row r="29">
      <c r="A29" t="inlineStr">
        <is>
          <t xml:space="preserve">  Interest Expense</t>
        </is>
      </c>
      <c r="B29" s="6" t="n">
        <v>-120</v>
      </c>
      <c r="C29" s="6" t="n">
        <v>-110</v>
      </c>
      <c r="D29" s="6" t="n">
        <v>-100</v>
      </c>
      <c r="E29" s="6" t="n">
        <v>-95</v>
      </c>
    </row>
    <row r="30">
      <c r="A30" t="inlineStr">
        <is>
          <t xml:space="preserve">  Other Income (Expense)</t>
        </is>
      </c>
      <c r="B30" s="6" t="n">
        <v>50</v>
      </c>
      <c r="C30" s="6" t="n">
        <v>-30</v>
      </c>
      <c r="D30" s="6" t="n">
        <v>80</v>
      </c>
      <c r="E30" s="6" t="n">
        <v>45</v>
      </c>
    </row>
    <row r="31">
      <c r="A31" t="inlineStr"/>
    </row>
    <row r="32">
      <c r="A32" t="inlineStr">
        <is>
          <t>Income Before Taxes</t>
        </is>
      </c>
      <c r="B32" s="7">
        <f>B27+B30+B31+B32</f>
        <v/>
      </c>
      <c r="C32" s="7">
        <f>C27+C30+C31+C32</f>
        <v/>
      </c>
      <c r="D32" s="7">
        <f>D27+D30+D31+D32</f>
        <v/>
      </c>
      <c r="E32" s="7">
        <f>E27+E30+E31+E32</f>
        <v/>
      </c>
    </row>
    <row r="33">
      <c r="A33" t="inlineStr">
        <is>
          <t xml:space="preserve">  Income Tax Expense</t>
        </is>
      </c>
      <c r="B33" s="6" t="n">
        <v>1650</v>
      </c>
      <c r="C33" s="6" t="n">
        <v>1880</v>
      </c>
      <c r="D33" s="6" t="n">
        <v>2100</v>
      </c>
      <c r="E33" s="6" t="n">
        <v>2350</v>
      </c>
    </row>
    <row r="34">
      <c r="A34" t="inlineStr"/>
    </row>
    <row r="35">
      <c r="A35" t="inlineStr">
        <is>
          <t>Net Income</t>
        </is>
      </c>
      <c r="B35" s="7">
        <f>B34-B35</f>
        <v/>
      </c>
      <c r="C35" s="7">
        <f>C34-C35</f>
        <v/>
      </c>
      <c r="D35" s="7">
        <f>D34-D35</f>
        <v/>
      </c>
      <c r="E35" s="7">
        <f>E34-E35</f>
        <v/>
      </c>
    </row>
    <row r="36">
      <c r="A36" t="inlineStr">
        <is>
          <t>Net Margin %</t>
        </is>
      </c>
      <c r="B36" s="8">
        <f>B37/B10</f>
        <v/>
      </c>
      <c r="C36" s="8">
        <f>C37/C10</f>
        <v/>
      </c>
      <c r="D36" s="8">
        <f>D37/D10</f>
        <v/>
      </c>
      <c r="E36" s="8">
        <f>E37/E10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</cols>
  <sheetData>
    <row r="1">
      <c r="A1" s="1" t="inlineStr">
        <is>
          <t>ACME Corp - Balance Sheet</t>
        </is>
      </c>
    </row>
    <row r="2">
      <c r="A2" s="2" t="inlineStr">
        <is>
          <t>As of December 31, 2025 (in thousands USD)</t>
        </is>
      </c>
    </row>
    <row r="4">
      <c r="A4" s="3" t="inlineStr"/>
      <c r="B4" s="3" t="inlineStr">
        <is>
          <t>Dec 31, 2025</t>
        </is>
      </c>
      <c r="C4" s="3" t="inlineStr">
        <is>
          <t>Dec 31, 2024</t>
        </is>
      </c>
    </row>
    <row r="5">
      <c r="A5" s="4" t="inlineStr">
        <is>
          <t>ASSETS</t>
        </is>
      </c>
      <c r="B5" s="5" t="n"/>
      <c r="C5" s="5" t="n"/>
    </row>
    <row r="6">
      <c r="A6" s="4" t="inlineStr">
        <is>
          <t>Current Assets</t>
        </is>
      </c>
      <c r="B6" s="5" t="n"/>
      <c r="C6" s="5" t="n"/>
    </row>
    <row r="7">
      <c r="A7" t="inlineStr">
        <is>
          <t xml:space="preserve">  Cash and Equivalents</t>
        </is>
      </c>
      <c r="B7" s="6" t="n">
        <v>67400</v>
      </c>
      <c r="C7" s="6" t="n">
        <v>48200</v>
      </c>
    </row>
    <row r="8">
      <c r="A8" t="inlineStr">
        <is>
          <t xml:space="preserve">  Accounts Receivable</t>
        </is>
      </c>
      <c r="B8" s="6" t="n">
        <v>32100</v>
      </c>
      <c r="C8" s="6" t="n">
        <v>26800</v>
      </c>
    </row>
    <row r="9">
      <c r="A9" t="inlineStr">
        <is>
          <t xml:space="preserve">  Prepaid Expenses</t>
        </is>
      </c>
      <c r="B9" s="6" t="n">
        <v>4200</v>
      </c>
      <c r="C9" s="6" t="n">
        <v>3600</v>
      </c>
    </row>
    <row r="10">
      <c r="A10" t="inlineStr">
        <is>
          <t xml:space="preserve">  Other Current Assets</t>
        </is>
      </c>
      <c r="B10" s="6" t="n">
        <v>2800</v>
      </c>
      <c r="C10" s="6" t="n">
        <v>2100</v>
      </c>
    </row>
    <row r="11">
      <c r="A11" t="inlineStr">
        <is>
          <t>Total Current Assets</t>
        </is>
      </c>
      <c r="B11" s="7">
        <f>SUM(B7:B10)</f>
        <v/>
      </c>
      <c r="C11" s="7">
        <f>SUM(C7:C10)</f>
        <v/>
      </c>
    </row>
    <row r="12">
      <c r="A12" t="inlineStr"/>
    </row>
    <row r="13">
      <c r="A13" s="4" t="inlineStr">
        <is>
          <t>Non-Current Assets</t>
        </is>
      </c>
      <c r="B13" s="5" t="n"/>
      <c r="C13" s="5" t="n"/>
    </row>
    <row r="14">
      <c r="A14" t="inlineStr">
        <is>
          <t xml:space="preserve">  Property and Equipment, net</t>
        </is>
      </c>
      <c r="B14" s="6" t="n">
        <v>18500</v>
      </c>
      <c r="C14" s="6" t="n">
        <v>16200</v>
      </c>
    </row>
    <row r="15">
      <c r="A15" t="inlineStr">
        <is>
          <t xml:space="preserve">  Intangible Assets</t>
        </is>
      </c>
      <c r="B15" s="6" t="n">
        <v>12300</v>
      </c>
      <c r="C15" s="6" t="n">
        <v>8900</v>
      </c>
    </row>
    <row r="16">
      <c r="A16" t="inlineStr">
        <is>
          <t xml:space="preserve">  Goodwill</t>
        </is>
      </c>
      <c r="B16" s="6" t="n">
        <v>24600</v>
      </c>
      <c r="C16" s="6" t="n">
        <v>24600</v>
      </c>
    </row>
    <row r="17">
      <c r="A17" t="inlineStr">
        <is>
          <t xml:space="preserve">  Other Non-Current Assets</t>
        </is>
      </c>
      <c r="B17" s="6" t="n">
        <v>3400</v>
      </c>
      <c r="C17" s="6" t="n">
        <v>2800</v>
      </c>
    </row>
    <row r="18">
      <c r="A18" t="inlineStr">
        <is>
          <t>Total Non-Current Assets</t>
        </is>
      </c>
      <c r="B18" s="7">
        <f>SUM(B14:B17)</f>
        <v/>
      </c>
      <c r="C18" s="7">
        <f>SUM(C14:C17)</f>
        <v/>
      </c>
    </row>
    <row r="19">
      <c r="A19" t="inlineStr"/>
    </row>
    <row r="20">
      <c r="A20" t="inlineStr">
        <is>
          <t>TOTAL ASSETS</t>
        </is>
      </c>
      <c r="B20" s="7">
        <f>B11+B18</f>
        <v/>
      </c>
      <c r="C20" s="7">
        <f>C11+C18</f>
        <v/>
      </c>
    </row>
    <row r="21">
      <c r="A21" t="inlineStr"/>
    </row>
    <row r="22">
      <c r="A22" s="4" t="inlineStr">
        <is>
          <t>LIABILITIES AND EQUITY</t>
        </is>
      </c>
      <c r="B22" s="5" t="n"/>
      <c r="C22" s="5" t="n"/>
    </row>
    <row r="23">
      <c r="A23" s="4" t="inlineStr">
        <is>
          <t>Current Liabilities</t>
        </is>
      </c>
      <c r="B23" s="5" t="n"/>
      <c r="C23" s="5" t="n"/>
    </row>
    <row r="24">
      <c r="A24" t="inlineStr">
        <is>
          <t xml:space="preserve">  Accounts Payable</t>
        </is>
      </c>
      <c r="B24" s="6" t="n">
        <v>8900</v>
      </c>
      <c r="C24" s="6" t="n">
        <v>7200</v>
      </c>
    </row>
    <row r="25">
      <c r="A25" t="inlineStr">
        <is>
          <t xml:space="preserve">  Accrued Expenses</t>
        </is>
      </c>
      <c r="B25" s="6" t="n">
        <v>11200</v>
      </c>
      <c r="C25" s="6" t="n">
        <v>9400</v>
      </c>
    </row>
    <row r="26">
      <c r="A26" t="inlineStr">
        <is>
          <t xml:space="preserve">  Deferred Revenue</t>
        </is>
      </c>
      <c r="B26" s="6" t="n">
        <v>18600</v>
      </c>
      <c r="C26" s="6" t="n">
        <v>14800</v>
      </c>
    </row>
    <row r="27">
      <c r="A27" t="inlineStr">
        <is>
          <t xml:space="preserve">  Current Portion of Debt</t>
        </is>
      </c>
      <c r="B27" s="6" t="n">
        <v>2500</v>
      </c>
      <c r="C27" s="6" t="n">
        <v>2500</v>
      </c>
    </row>
    <row r="28">
      <c r="A28" t="inlineStr">
        <is>
          <t>Total Current Liabilities</t>
        </is>
      </c>
      <c r="B28" s="7">
        <f>SUM(B24:B27)</f>
        <v/>
      </c>
      <c r="C28" s="7">
        <f>SUM(C24:C27)</f>
        <v/>
      </c>
    </row>
    <row r="29">
      <c r="A29" t="inlineStr"/>
    </row>
    <row r="30">
      <c r="A30" s="4" t="inlineStr">
        <is>
          <t>Non-Current Liabilities</t>
        </is>
      </c>
      <c r="B30" s="5" t="n"/>
      <c r="C30" s="5" t="n"/>
    </row>
    <row r="31">
      <c r="A31" t="inlineStr">
        <is>
          <t xml:space="preserve">  Long-Term Debt</t>
        </is>
      </c>
      <c r="B31" s="6" t="n">
        <v>15000</v>
      </c>
      <c r="C31" s="6" t="n">
        <v>17500</v>
      </c>
    </row>
    <row r="32">
      <c r="A32" t="inlineStr">
        <is>
          <t xml:space="preserve">  Other Non-Current Liabilities</t>
        </is>
      </c>
      <c r="B32" s="6" t="n">
        <v>4200</v>
      </c>
      <c r="C32" s="6" t="n">
        <v>3800</v>
      </c>
    </row>
    <row r="33">
      <c r="A33" t="inlineStr">
        <is>
          <t>Total Non-Current Liabilities</t>
        </is>
      </c>
      <c r="B33" s="7">
        <f>SUM(B31:B32)</f>
        <v/>
      </c>
      <c r="C33" s="7">
        <f>SUM(C31:C32)</f>
        <v/>
      </c>
    </row>
    <row r="34">
      <c r="A34" t="inlineStr"/>
    </row>
    <row r="35">
      <c r="A35" t="inlineStr">
        <is>
          <t>TOTAL LIABILITIES</t>
        </is>
      </c>
      <c r="B35" s="7">
        <f>B28+B33</f>
        <v/>
      </c>
      <c r="C35" s="7">
        <f>C28+C33</f>
        <v/>
      </c>
    </row>
    <row r="36">
      <c r="A36" t="inlineStr"/>
    </row>
    <row r="37">
      <c r="A37" s="4" t="inlineStr">
        <is>
          <t>Stockholders' Equity</t>
        </is>
      </c>
      <c r="B37" s="5" t="n"/>
      <c r="C37" s="5" t="n"/>
    </row>
    <row r="38">
      <c r="A38" t="inlineStr">
        <is>
          <t xml:space="preserve">  Common Stock</t>
        </is>
      </c>
      <c r="B38" s="6" t="n">
        <v>1000</v>
      </c>
      <c r="C38" s="6" t="n">
        <v>1000</v>
      </c>
    </row>
    <row r="39">
      <c r="A39" t="inlineStr">
        <is>
          <t xml:space="preserve">  Additional Paid-In Capital</t>
        </is>
      </c>
      <c r="B39" s="6" t="n">
        <v>52000</v>
      </c>
      <c r="C39" s="6" t="n">
        <v>48000</v>
      </c>
    </row>
    <row r="40">
      <c r="A40" t="inlineStr">
        <is>
          <t xml:space="preserve">  Retained Earnings</t>
        </is>
      </c>
      <c r="B40" s="6">
        <f>B20-B35-B38-B39</f>
        <v/>
      </c>
      <c r="C40" s="6">
        <f>C20-C35-C38-C39</f>
        <v/>
      </c>
    </row>
    <row r="41">
      <c r="A41" t="inlineStr">
        <is>
          <t>Total Stockholders' Equity</t>
        </is>
      </c>
      <c r="B41" s="7">
        <f>SUM(B38:B40)</f>
        <v/>
      </c>
      <c r="C41" s="7">
        <f>SUM(C38:C40)</f>
        <v/>
      </c>
    </row>
    <row r="42">
      <c r="A42" t="inlineStr"/>
    </row>
    <row r="43">
      <c r="A43" t="inlineStr">
        <is>
          <t>TOTAL LIABILITIES AND EQUITY</t>
        </is>
      </c>
      <c r="B43" s="7">
        <f>B35+B41</f>
        <v/>
      </c>
      <c r="C43" s="7">
        <f>C35+C41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ACME Corp - Department Budget vs. Actual (FY 2025)</t>
        </is>
      </c>
    </row>
    <row r="3">
      <c r="A3" s="3" t="inlineStr">
        <is>
          <t>Department</t>
        </is>
      </c>
      <c r="B3" s="3" t="inlineStr">
        <is>
          <t>Budget ($K)</t>
        </is>
      </c>
      <c r="C3" s="3" t="inlineStr">
        <is>
          <t>Actual ($K)</t>
        </is>
      </c>
      <c r="D3" s="3" t="inlineStr">
        <is>
          <t>Variance ($K)</t>
        </is>
      </c>
      <c r="E3" s="3" t="inlineStr">
        <is>
          <t>Variance %</t>
        </is>
      </c>
      <c r="F3" s="3" t="inlineStr">
        <is>
          <t>Status</t>
        </is>
      </c>
    </row>
    <row r="4">
      <c r="A4" t="inlineStr">
        <is>
          <t>Engineering</t>
        </is>
      </c>
      <c r="B4" s="9" t="n">
        <v>21500</v>
      </c>
      <c r="C4" s="9" t="n">
        <v>22300</v>
      </c>
      <c r="D4" s="9">
        <f>C4-B4</f>
        <v/>
      </c>
      <c r="E4" s="10">
        <f>D4/B4</f>
        <v/>
      </c>
      <c r="F4" s="11" t="inlineStr">
        <is>
          <t>On Track</t>
        </is>
      </c>
    </row>
    <row r="5">
      <c r="A5" t="inlineStr">
        <is>
          <t>Sales</t>
        </is>
      </c>
      <c r="B5" s="9" t="n">
        <v>18200</v>
      </c>
      <c r="C5" s="9" t="n">
        <v>17800</v>
      </c>
      <c r="D5" s="9">
        <f>C5-B5</f>
        <v/>
      </c>
      <c r="E5" s="10">
        <f>D5/B5</f>
        <v/>
      </c>
      <c r="F5" s="12" t="inlineStr">
        <is>
          <t>Under Budget</t>
        </is>
      </c>
    </row>
    <row r="6">
      <c r="A6" t="inlineStr">
        <is>
          <t>Marketing</t>
        </is>
      </c>
      <c r="B6" s="9" t="n">
        <v>8500</v>
      </c>
      <c r="C6" s="9" t="n">
        <v>8900</v>
      </c>
      <c r="D6" s="9">
        <f>C6-B6</f>
        <v/>
      </c>
      <c r="E6" s="10">
        <f>D6/B6</f>
        <v/>
      </c>
      <c r="F6" s="11" t="inlineStr">
        <is>
          <t>On Track</t>
        </is>
      </c>
    </row>
    <row r="7">
      <c r="A7" t="inlineStr">
        <is>
          <t>Customer Success</t>
        </is>
      </c>
      <c r="B7" s="9" t="n">
        <v>6200</v>
      </c>
      <c r="C7" s="9" t="n">
        <v>6100</v>
      </c>
      <c r="D7" s="9">
        <f>C7-B7</f>
        <v/>
      </c>
      <c r="E7" s="10">
        <f>D7/B7</f>
        <v/>
      </c>
      <c r="F7" s="12" t="inlineStr">
        <is>
          <t>Under Budget</t>
        </is>
      </c>
    </row>
    <row r="8">
      <c r="A8" t="inlineStr">
        <is>
          <t>G&amp;A / Finance</t>
        </is>
      </c>
      <c r="B8" s="9" t="n">
        <v>4800</v>
      </c>
      <c r="C8" s="9" t="n">
        <v>4600</v>
      </c>
      <c r="D8" s="9">
        <f>C8-B8</f>
        <v/>
      </c>
      <c r="E8" s="10">
        <f>D8/B8</f>
        <v/>
      </c>
      <c r="F8" s="12" t="inlineStr">
        <is>
          <t>Under Budget</t>
        </is>
      </c>
    </row>
    <row r="9">
      <c r="A9" t="inlineStr">
        <is>
          <t>Human Resources</t>
        </is>
      </c>
      <c r="B9" s="9" t="n">
        <v>3200</v>
      </c>
      <c r="C9" s="9" t="n">
        <v>3150</v>
      </c>
      <c r="D9" s="9">
        <f>C9-B9</f>
        <v/>
      </c>
      <c r="E9" s="10">
        <f>D9/B9</f>
        <v/>
      </c>
      <c r="F9" s="12" t="inlineStr">
        <is>
          <t>Under Budget</t>
        </is>
      </c>
    </row>
    <row r="10">
      <c r="A10" t="inlineStr">
        <is>
          <t>Legal</t>
        </is>
      </c>
      <c r="B10" s="9" t="n">
        <v>2100</v>
      </c>
      <c r="C10" s="9" t="n">
        <v>2250</v>
      </c>
      <c r="D10" s="9">
        <f>C10-B10</f>
        <v/>
      </c>
      <c r="E10" s="10">
        <f>D10/B10</f>
        <v/>
      </c>
      <c r="F10" s="13" t="inlineStr">
        <is>
          <t>Over Budget</t>
        </is>
      </c>
    </row>
    <row r="11">
      <c r="A11" t="inlineStr">
        <is>
          <t>IT / Operations</t>
        </is>
      </c>
      <c r="B11" s="9" t="n">
        <v>5400</v>
      </c>
      <c r="C11" s="9" t="n">
        <v>5200</v>
      </c>
      <c r="D11" s="9">
        <f>C11-B11</f>
        <v/>
      </c>
      <c r="E11" s="10">
        <f>D11/B11</f>
        <v/>
      </c>
      <c r="F11" s="12" t="inlineStr">
        <is>
          <t>Under Budget</t>
        </is>
      </c>
    </row>
    <row r="12">
      <c r="A12" t="inlineStr">
        <is>
          <t>Executive</t>
        </is>
      </c>
      <c r="B12" s="9" t="n">
        <v>2600</v>
      </c>
      <c r="C12" s="9" t="n">
        <v>2580</v>
      </c>
      <c r="D12" s="9">
        <f>C12-B12</f>
        <v/>
      </c>
      <c r="E12" s="10">
        <f>D12/B12</f>
        <v/>
      </c>
      <c r="F12" s="12" t="inlineStr">
        <is>
          <t>Under Budget</t>
        </is>
      </c>
    </row>
    <row r="13">
      <c r="A13" t="inlineStr">
        <is>
          <t>Facilities</t>
        </is>
      </c>
      <c r="B13" s="9" t="n">
        <v>1800</v>
      </c>
      <c r="C13" s="9" t="n">
        <v>1920</v>
      </c>
      <c r="D13" s="9">
        <f>C13-B13</f>
        <v/>
      </c>
      <c r="E13" s="10">
        <f>D13/B13</f>
        <v/>
      </c>
      <c r="F13" s="13" t="inlineStr">
        <is>
          <t>Over Budget</t>
        </is>
      </c>
    </row>
    <row r="14">
      <c r="A14" s="14" t="inlineStr">
        <is>
          <t>TOTAL</t>
        </is>
      </c>
      <c r="B14" s="15">
        <f>SUM(B4:B13)</f>
        <v/>
      </c>
      <c r="C14" s="15">
        <f>SUM(C4:C13)</f>
        <v/>
      </c>
      <c r="D14" s="15">
        <f>C14-B14</f>
        <v/>
      </c>
      <c r="E14" s="16">
        <f>D14/B14</f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2026-03-17T11:07:47Z</dcterms:created>
  <dcterms:modified xmlns:dcterms="http://purl.org/dc/terms/" xmlns:xsi="http://www.w3.org/2001/XMLSchema-instance" xsi:type="dcterms:W3CDTF">2026-03-17T11:07:47Z</dcterms:modified>
</cp:coreProperties>
</file>